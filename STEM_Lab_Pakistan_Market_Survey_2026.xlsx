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M Lab Quotation - Paki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833C00"/>
      </patternFill>
    </fill>
    <fill>
      <patternFill patternType="solid">
        <fgColor rgb="001F497D"/>
      </patternFill>
    </fill>
    <fill>
      <patternFill patternType="solid">
        <fgColor rgb="00843C0C"/>
      </patternFill>
    </fill>
    <fill>
      <patternFill patternType="solid">
        <fgColor rgb="00D6E4F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  <xf numFmtId="3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3" fontId="7" fillId="2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14" borderId="1" applyAlignment="1" pivotButton="0" quotePrefix="0" xfId="0">
      <alignment horizontal="right" vertical="center"/>
    </xf>
    <xf numFmtId="3" fontId="7" fillId="1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6" customWidth="1" min="9" max="9"/>
    <col width="28" customWidth="1" min="10" max="10"/>
  </cols>
  <sheetData>
    <row r="1" ht="36" customHeight="1">
      <c r="A1" s="1" t="inlineStr">
        <is>
          <t>HAIER / HAITECH — STEM LAB QUOTATION (PAKISTAN MARKET SURVEY)</t>
        </is>
      </c>
    </row>
    <row r="2" ht="20" customHeight="1">
      <c r="A2" s="2" t="inlineStr">
        <is>
          <t>Prices researched: June 2026  |  Exchange Rate: 1 USD ≈ 280 PKR  |  Original Quotation Date: 20 June 2026  |  Currency: PKR (Pakistani Rupee)</t>
        </is>
      </c>
    </row>
    <row r="3" ht="6" customHeight="1"/>
    <row r="4" ht="38" customHeight="1">
      <c r="A4" s="3" t="inlineStr">
        <is>
          <t>S.No</t>
        </is>
      </c>
      <c r="B4" s="3" t="inlineStr">
        <is>
          <t>Product / Item</t>
        </is>
      </c>
      <c r="C4" s="3" t="inlineStr">
        <is>
          <t>Specification Summary</t>
        </is>
      </c>
      <c r="D4" s="3" t="inlineStr">
        <is>
          <t>Qty</t>
        </is>
      </c>
      <c r="E4" s="3" t="inlineStr">
        <is>
          <t>Unit Price
(PKR) — Low</t>
        </is>
      </c>
      <c r="F4" s="3" t="inlineStr">
        <is>
          <t>Unit Price
(PKR) — High</t>
        </is>
      </c>
      <c r="G4" s="3" t="inlineStr">
        <is>
          <t>Adopted Unit
Price (PKR)</t>
        </is>
      </c>
      <c r="H4" s="3" t="inlineStr">
        <is>
          <t>Total Price
(PKR)</t>
        </is>
      </c>
      <c r="I4" s="3" t="inlineStr">
        <is>
          <t>Pakistan Market
Source / Notes</t>
        </is>
      </c>
      <c r="J4" s="3" t="inlineStr">
        <is>
          <t>Remarks</t>
        </is>
      </c>
    </row>
    <row r="5" ht="24" customHeight="1">
      <c r="A5" s="4" t="inlineStr">
        <is>
          <t xml:space="preserve">  ▶  STEM KITS / EDUCATIONAL EQUIPMENT</t>
        </is>
      </c>
    </row>
    <row r="6" ht="58" customHeight="1">
      <c r="A6" s="5" t="n">
        <v>1</v>
      </c>
      <c r="B6" s="6" t="inlineStr">
        <is>
          <t>Electronics Kit
(Basic Electronic Circuit Kit)</t>
        </is>
      </c>
      <c r="C6" s="7" t="inlineStr">
        <is>
          <t>Breadboard, wires, resistors (1/4W), LEDs, capacitors, diodes, transistors, DC motors, buzzer, sensors. Soldering Station &amp; Solar Panel NOT included.</t>
        </is>
      </c>
      <c r="D6" s="8" t="n">
        <v>4</v>
      </c>
      <c r="E6" s="9" t="n">
        <v>4000</v>
      </c>
      <c r="F6" s="9" t="n">
        <v>6500</v>
      </c>
      <c r="G6" s="10" t="n">
        <v>5500</v>
      </c>
      <c r="H6" s="11">
        <f>D6*G6</f>
        <v/>
      </c>
      <c r="I6" s="7" t="inlineStr">
        <is>
          <t>Hafeez Center Lahore / Hall Road Lahore / Digilog.pk / circuit.pk</t>
        </is>
      </c>
      <c r="J6" s="7" t="inlineStr">
        <is>
          <t>Soldering station &amp; solar panel excluded per spec</t>
        </is>
      </c>
    </row>
    <row r="7" ht="58" customHeight="1">
      <c r="A7" s="12" t="n">
        <v>2</v>
      </c>
      <c r="B7" s="13" t="inlineStr">
        <is>
          <t>Arduino Starter Kit
(Arduino Uno R3 Based)</t>
        </is>
      </c>
      <c r="C7" s="14" t="inlineStr">
        <is>
          <t>Arduino Uno R3 board, USB programming cable, breadboard, jumper wires, ultrasonic sensor, temperature sensor, push buttons, LEDs, resistors, coding tutorial manual.</t>
        </is>
      </c>
      <c r="D7" s="15" t="n">
        <v>4</v>
      </c>
      <c r="E7" s="16" t="n">
        <v>4300</v>
      </c>
      <c r="F7" s="16" t="n">
        <v>7415</v>
      </c>
      <c r="G7" s="10" t="n">
        <v>6000</v>
      </c>
      <c r="H7" s="11">
        <f>D7*G7</f>
        <v/>
      </c>
      <c r="I7" s="14" t="inlineStr">
        <is>
          <t>Digilog.pk (Rs 4,300–5,500) / w11stop.com (Rs 6,674) / InStock.pk / Tejar.pk</t>
        </is>
      </c>
      <c r="J7" s="14" t="inlineStr">
        <is>
          <t>Prices updated May 2026</t>
        </is>
      </c>
    </row>
    <row r="8" ht="58" customHeight="1">
      <c r="A8" s="5" t="n">
        <v>3</v>
      </c>
      <c r="B8" s="6" t="inlineStr">
        <is>
          <t>IoT Automation Kit</t>
        </is>
      </c>
      <c r="C8" s="7" t="inlineStr">
        <is>
          <t>NodeMCU (ESP8266) controller, relay module, temperature sensor, PIR motion sensor, LDR light sensor, jumper wires, power supply module, breadboard, DC fan, educational manual, ultrasonic sensor, acrylic sheet.</t>
        </is>
      </c>
      <c r="D8" s="8" t="n">
        <v>4</v>
      </c>
      <c r="E8" s="9" t="n">
        <v>8000</v>
      </c>
      <c r="F8" s="9" t="n">
        <v>13000</v>
      </c>
      <c r="G8" s="10" t="n">
        <v>10000</v>
      </c>
      <c r="H8" s="11">
        <f>D8*G8</f>
        <v/>
      </c>
      <c r="I8" s="7" t="inlineStr">
        <is>
          <t>Digilog.pk (NodeMCU @ Rs 690) / HallRoadLahore.pk / circuit.pk / Rawlix.com</t>
        </is>
      </c>
      <c r="J8" s="7" t="inlineStr">
        <is>
          <t>Full kit assembled price; components individually available cheaper</t>
        </is>
      </c>
    </row>
    <row r="9" ht="58" customHeight="1">
      <c r="A9" s="12" t="n">
        <v>4</v>
      </c>
      <c r="B9" s="13" t="inlineStr">
        <is>
          <t>Robotic Kit
(Arduino UNO R3 + Robot Arm + Raspberry Pi 4B)</t>
        </is>
      </c>
      <c r="C9" s="14" t="inlineStr">
        <is>
          <t>Arduino UNO R3 board + 4–6 DOF Robot Arm Kit + Raspberry Pi 4 Model B (4GB RAM).</t>
        </is>
      </c>
      <c r="D9" s="15" t="n">
        <v>4</v>
      </c>
      <c r="E9" s="16" t="n">
        <v>45000</v>
      </c>
      <c r="F9" s="16" t="n">
        <v>70000</v>
      </c>
      <c r="G9" s="10" t="n">
        <v>55000</v>
      </c>
      <c r="H9" s="11">
        <f>D9*G9</f>
        <v/>
      </c>
      <c r="I9" s="14" t="inlineStr">
        <is>
          <t>RPi 4B (4GB): Rs 38,000–52,000 (w11stop/robostan.pk) | Robot Arm: Rs 3,000–15,000 (digilog.pk/robostan.pk) | Arduino UNO: Rs 2,000–3,000</t>
        </is>
      </c>
      <c r="J9" s="14" t="inlineStr">
        <is>
          <t>RPi4 price volatile due to import duty; verify at time of purchase</t>
        </is>
      </c>
    </row>
    <row r="10" ht="58" customHeight="1">
      <c r="A10" s="5" t="n">
        <v>5</v>
      </c>
      <c r="B10" s="6" t="inlineStr">
        <is>
          <t>Space Tech Kit</t>
        </is>
      </c>
      <c r="C10" s="7" t="inlineStr">
        <is>
          <t>Basic bottle rocket kit, solar system model, space mission simulation with controller, star charts, space science manual.</t>
        </is>
      </c>
      <c r="D10" s="8" t="n">
        <v>4</v>
      </c>
      <c r="E10" s="9" t="n">
        <v>8000</v>
      </c>
      <c r="F10" s="9" t="n">
        <v>15000</v>
      </c>
      <c r="G10" s="10" t="n">
        <v>12000</v>
      </c>
      <c r="H10" s="11">
        <f>D10*G10</f>
        <v/>
      </c>
      <c r="I10" s="7" t="inlineStr">
        <is>
          <t>sciencestore.pk (Pakistan) / thespacestore.com / imported educational kits</t>
        </is>
      </c>
      <c r="J10" s="7" t="inlineStr">
        <is>
          <t>Limited local supply; may require import from China/India</t>
        </is>
      </c>
    </row>
    <row r="11" ht="58" customHeight="1">
      <c r="A11" s="12" t="n">
        <v>6</v>
      </c>
      <c r="B11" s="13" t="inlineStr">
        <is>
          <t>Mathematics / Science Kit
(数理综合教具套件)</t>
        </is>
      </c>
      <c r="C11" s="14" t="inlineStr">
        <is>
          <t>Geometry instruments (compass, protractor, ruler), basic simple machines kit, measurement tools (rulers, basic calipers), scientific calculator (basic), lab manual with 15+ curriculum experiments.</t>
        </is>
      </c>
      <c r="D11" s="15" t="n">
        <v>4</v>
      </c>
      <c r="E11" s="16" t="n">
        <v>5000</v>
      </c>
      <c r="F11" s="16" t="n">
        <v>9000</v>
      </c>
      <c r="G11" s="10" t="n">
        <v>7000</v>
      </c>
      <c r="H11" s="11">
        <f>D11*G11</f>
        <v/>
      </c>
      <c r="I11" s="14" t="inlineStr">
        <is>
          <t>Casio scientific calculator Rs 1,500–3,000 (katib.pk) | Geometry set Rs 500–1,000 | Simple machines Rs 2,000–5,000 | Calipers Rs 500–1,500</t>
        </is>
      </c>
      <c r="J11" s="14" t="inlineStr">
        <is>
          <t>Casio FX-82/991 recommended for scientific calculator component</t>
        </is>
      </c>
    </row>
    <row r="12" ht="58" customHeight="1">
      <c r="A12" s="5" t="n">
        <v>7</v>
      </c>
      <c r="B12" s="6" t="inlineStr">
        <is>
          <t>Hardware Tool Kit
(劳技工具套装)</t>
        </is>
      </c>
      <c r="C12" s="7" t="inlineStr">
        <is>
          <t>Screwdriver set, wire cutter, wire stripper, soldering iron (40W), solder wire, tweezer set, safety goggles, anti-static work mat.</t>
        </is>
      </c>
      <c r="D12" s="8" t="n">
        <v>4</v>
      </c>
      <c r="E12" s="9" t="n">
        <v>6500</v>
      </c>
      <c r="F12" s="9" t="n">
        <v>10000</v>
      </c>
      <c r="G12" s="10" t="n">
        <v>8000</v>
      </c>
      <c r="H12" s="11">
        <f>D12*G12</f>
        <v/>
      </c>
      <c r="I12" s="7" t="inlineStr">
        <is>
          <t>Ingco 18-pc screwdriver set Rs 4,830 (testinstruments.pk/toolsmart.pk) | Soldering iron Rs 600 (w11stop) | Wire stripper Rs 500–1,000 (ingcotool.pk) | Goggles Rs 400–800</t>
        </is>
      </c>
      <c r="J12" s="7" t="inlineStr">
        <is>
          <t>Ingco brand tools widely available in Pakistan</t>
        </is>
      </c>
    </row>
    <row r="13" ht="24" customHeight="1">
      <c r="A13" s="17" t="inlineStr">
        <is>
          <t xml:space="preserve">  ▶  SCIENCE LAB EQUIPMENT</t>
        </is>
      </c>
    </row>
    <row r="14" ht="58" customHeight="1">
      <c r="A14" s="12" t="n">
        <v>8</v>
      </c>
      <c r="B14" s="13" t="inlineStr">
        <is>
          <t>Biology Kit
(生物实验套件)</t>
        </is>
      </c>
      <c r="C14" s="14" t="inlineStr">
        <is>
          <t>40x–200x magnification basic microscope, glass slides, staining solutions, glass droppers, preserved specimens, petri dishes, biology charts pack, biology lab manual.</t>
        </is>
      </c>
      <c r="D14" s="15" t="n">
        <v>1</v>
      </c>
      <c r="E14" s="16" t="n">
        <v>18000</v>
      </c>
      <c r="F14" s="16" t="n">
        <v>35000</v>
      </c>
      <c r="G14" s="10" t="n">
        <v>28000</v>
      </c>
      <c r="H14" s="11">
        <f>D14*G14</f>
        <v/>
      </c>
      <c r="I14" s="14" t="inlineStr">
        <is>
          <t>Student microscope Rs 10,000–20,000 (surgical-hut.com / alnafaysurgical.com / Daraz.pk) | Slides/specimens/petri Rs 3,000–8,000 (sciencebazar.pk / samtechlabs.com)</t>
        </is>
      </c>
      <c r="J14" s="14" t="inlineStr">
        <is>
          <t>40x–200x monocular student scope; bulk order discount possible</t>
        </is>
      </c>
    </row>
    <row r="15" ht="58" customHeight="1">
      <c r="A15" s="5" t="n">
        <v>9</v>
      </c>
      <c r="B15" s="6" t="inlineStr">
        <is>
          <t>Chemistry Kit
(化学实验套件)</t>
        </is>
      </c>
      <c r="C15" s="7" t="inlineStr">
        <is>
          <t>Beaker set, test tubes, measuring cylinder, conical flask, glass funnel, dropper/pipette set, stirring rod, spirit lamp, test tube holder, thermometer, filter paper, chemical reagent kit, chemistry lab manual.</t>
        </is>
      </c>
      <c r="D15" s="8" t="n">
        <v>1</v>
      </c>
      <c r="E15" s="9" t="n">
        <v>18000</v>
      </c>
      <c r="F15" s="9" t="n">
        <v>30000</v>
      </c>
      <c r="G15" s="10" t="n">
        <v>25000</v>
      </c>
      <c r="H15" s="11">
        <f>D15*G15</f>
        <v/>
      </c>
      <c r="I15" s="7" t="inlineStr">
        <is>
          <t>labstore.pk / sciencebazar.pk / labchemcentre.com / cwtc.com.pk / labcare.com.pk</t>
        </is>
      </c>
      <c r="J15" s="7" t="inlineStr">
        <is>
          <t>Borosilicate glassware recommended; reagent kit subject to CDA/licensing</t>
        </is>
      </c>
    </row>
    <row r="16" ht="58" customHeight="1">
      <c r="A16" s="12" t="n">
        <v>10</v>
      </c>
      <c r="B16" s="13" t="inlineStr">
        <is>
          <t>Physics Kit
(物理实验套件)</t>
        </is>
      </c>
      <c r="C16" s="14" t="inlineStr">
        <is>
          <t>Magnetism kit, electricity kit, simple pendulum set, spring &amp; Hooke's law kit, measurement tools, stopwatch, ammeter, voltmeter, physics experimentation kit, 15+ curriculum experiments.</t>
        </is>
      </c>
      <c r="D16" s="15" t="n">
        <v>1</v>
      </c>
      <c r="E16" s="16" t="n">
        <v>18000</v>
      </c>
      <c r="F16" s="16" t="n">
        <v>35000</v>
      </c>
      <c r="G16" s="10" t="n">
        <v>28000</v>
      </c>
      <c r="H16" s="11">
        <f>D16*G16</f>
        <v/>
      </c>
      <c r="I16" s="14" t="inlineStr">
        <is>
          <t>Local educational suppliers / sciencebazar.pk / labchemcentre.com</t>
        </is>
      </c>
      <c r="J16" s="14" t="inlineStr">
        <is>
          <t>Includes ammeter, voltmeter, bar magnets, spring sets, pendulum bob</t>
        </is>
      </c>
    </row>
    <row r="17" ht="24" customHeight="1">
      <c r="A17" s="18" t="inlineStr">
        <is>
          <t xml:space="preserve">  ▶  TECHNOLOGY / DIGITAL DEVICES</t>
        </is>
      </c>
    </row>
    <row r="18" ht="58" customHeight="1">
      <c r="A18" s="5" t="n">
        <v>11</v>
      </c>
      <c r="B18" s="6" t="inlineStr">
        <is>
          <t>3D Printer — Entry-Level FDM
(3D 打印机)</t>
        </is>
      </c>
      <c r="C18" s="7" t="inlineStr">
        <is>
          <t>Entry-level FDM technology; suitable for PLA/ABS. Build volume ~220×220×250 mm. (e.g. Creality Ender 3 NEO or equivalent).</t>
        </is>
      </c>
      <c r="D18" s="8" t="n">
        <v>1</v>
      </c>
      <c r="E18" s="9" t="n">
        <v>55000</v>
      </c>
      <c r="F18" s="9" t="n">
        <v>80000</v>
      </c>
      <c r="G18" s="10" t="n">
        <v>65000</v>
      </c>
      <c r="H18" s="11">
        <f>D18*G18</f>
        <v/>
      </c>
      <c r="I18" s="7" t="inlineStr">
        <is>
          <t>Creality Ender 3 NEO: Rs 74,990 (grit3d.com / 3dprint.pk / creative3d.pk) | Entry FDM from Rs 55,000 (awaisinternational.com)</t>
        </is>
      </c>
      <c r="J18" s="7" t="inlineStr">
        <is>
          <t>Creality Ender 3 series most widely supported in Pakistan</t>
        </is>
      </c>
    </row>
    <row r="19" ht="58" customHeight="1">
      <c r="A19" s="12" t="n">
        <v>12</v>
      </c>
      <c r="B19" s="13" t="inlineStr">
        <is>
          <t>3D Printer — goofoo GP1
(高速FDM打印机)</t>
        </is>
      </c>
      <c r="C19" s="14" t="inlineStr">
        <is>
          <t>FDM technology | Max print speed: 500 mm/s | Build volume: 256×256×256 mm | 1 nozzle | Print precision: ±0.1 mm | PEI-coated flexible steel sheet | Materials: PLA, ABS, ASA, PC | 5-inch IPS capacitive touch colour screen.</t>
        </is>
      </c>
      <c r="D19" s="15" t="n">
        <v>1</v>
      </c>
      <c r="E19" s="16" t="n">
        <v>150000</v>
      </c>
      <c r="F19" s="16" t="n">
        <v>210000</v>
      </c>
      <c r="G19" s="10" t="n">
        <v>180000</v>
      </c>
      <c r="H19" s="11">
        <f>D19*G19</f>
        <v/>
      </c>
      <c r="I19" s="14" t="inlineStr">
        <is>
          <t>goofoo3d.com (import; USD ~580–700 ≈ PKR 162,400–196,000 at 280 PKR/USD) | Available via Botland/AliExpress import</t>
        </is>
      </c>
      <c r="J19" s="14" t="inlineStr">
        <is>
          <t>Import item; no official Pakistan dealer; add ~15–20% customs/shipping</t>
        </is>
      </c>
    </row>
    <row r="20" ht="58" customHeight="1">
      <c r="A20" s="5" t="n">
        <v>13</v>
      </c>
      <c r="B20" s="6" t="inlineStr">
        <is>
          <t>VR Box — Generic Headset
(VR简易头戴设备)</t>
        </is>
      </c>
      <c r="C20" s="7" t="inlineStr">
        <is>
          <t>Generic VR headset, Google Cardboard VR viewer, protective case, user manual. Compatible with smartphones 4.7"–6.5".</t>
        </is>
      </c>
      <c r="D20" s="8" t="n">
        <v>4</v>
      </c>
      <c r="E20" s="9" t="n">
        <v>1800</v>
      </c>
      <c r="F20" s="9" t="n">
        <v>4500</v>
      </c>
      <c r="G20" s="10" t="n">
        <v>3000</v>
      </c>
      <c r="H20" s="11">
        <f>D20*G20</f>
        <v/>
      </c>
      <c r="I20" s="7" t="inlineStr">
        <is>
          <t>VR Shinecon box Rs 2,000–4,000 (Daraz.pk) | Basic cardboard VR Rs 1,718–6,299 (laptab.com.pk) | pakvr.com | alhamdtech.pk</t>
        </is>
      </c>
      <c r="J20" s="7" t="inlineStr">
        <is>
          <t>Generic/Shinecon brand; suitable for educational VR content</t>
        </is>
      </c>
    </row>
    <row r="21" ht="58" customHeight="1">
      <c r="A21" s="12" t="n">
        <v>14</v>
      </c>
      <c r="B21" s="13" t="inlineStr">
        <is>
          <t>Smart TV with Speakers — 85"
(85英寸带音响智能电视)</t>
        </is>
      </c>
      <c r="C21" s="14" t="inlineStr">
        <is>
          <t>85" panel | 4K UHD (3840×2160) | Aspect ratio 16:9 | Smart TV | 2×10W amplified speakers | Active area: 1872×1053 mm.</t>
        </is>
      </c>
      <c r="D21" s="15" t="n">
        <v>1</v>
      </c>
      <c r="E21" s="16" t="n">
        <v>540000</v>
      </c>
      <c r="F21" s="16" t="n">
        <v>680000</v>
      </c>
      <c r="G21" s="10" t="n">
        <v>580000</v>
      </c>
      <c r="H21" s="11">
        <f>D21*G21</f>
        <v/>
      </c>
      <c r="I21" s="14" t="inlineStr">
        <is>
          <t>TCL 85P8K QLED 4K Smart TV: Rs 564,999 (mega.pk / japanelectronics.com.pk — Mar 2026) | Haier 85" QLED up to Rs 511,000+ | TCL/Haier range: Rs 540,000–750,000</t>
        </is>
      </c>
      <c r="J21" s="14" t="inlineStr">
        <is>
          <t>Haier 85" with built-in speakers recommended; verify exact model with dealer</t>
        </is>
      </c>
    </row>
    <row r="22" ht="58" customHeight="1">
      <c r="A22" s="5" t="n">
        <v>15</v>
      </c>
      <c r="B22" s="6" t="inlineStr">
        <is>
          <t>Computer System — Student AIO
(电脑 — 学生用)</t>
        </is>
      </c>
      <c r="C22" s="7" t="inlineStr">
        <is>
          <t>All-in-One PC | CPU: Intel Core i5-13420H (RPL) | RAM: 16 GB DDR4 | Storage: 256 GB SSD (PCIe 3.0) | Display: 21.5" FHD IPS 60 Hz 16:9 | Camera: 5 MP | I/O: 4× USB-A, 1× HDMI-out, earphone+MIC | Kbd+Mouse.</t>
        </is>
      </c>
      <c r="D22" s="8" t="n">
        <v>16</v>
      </c>
      <c r="E22" s="9" t="n">
        <v>80000</v>
      </c>
      <c r="F22" s="9" t="n">
        <v>120000</v>
      </c>
      <c r="G22" s="10" t="n">
        <v>95000</v>
      </c>
      <c r="H22" s="11">
        <f>D22*G22</f>
        <v/>
      </c>
      <c r="I22" s="7" t="inlineStr">
        <is>
          <t>Chinese-brand AIO (Dahua/similar) 21.5" i5: Rs 80,000–120,000 | Dahua DHI-AIO PC: Rs ~120,000–149,999 (mega.pk) | Dell/HP 24" i5 AIOs: Rs 220,000–265,000 (higher tier)</t>
        </is>
      </c>
      <c r="J22" s="7" t="inlineStr">
        <is>
          <t>Chinese-brand 21.5" AIO matches spec; Dell/HP would cost significantly more</t>
        </is>
      </c>
    </row>
    <row r="23" ht="58" customHeight="1">
      <c r="A23" s="12" t="n">
        <v>16</v>
      </c>
      <c r="B23" s="13" t="inlineStr">
        <is>
          <t>Consumables — Annual
(年度实验耗材)</t>
        </is>
      </c>
      <c r="C23" s="14" t="inlineStr">
        <is>
          <t>Annual lab consumables: replacement components, soldering supplies, chemicals, PLA/ABS filament rolls, slides, filter papers, reagents, printing paper, batteries, etc.</t>
        </is>
      </c>
      <c r="D23" s="15" t="n">
        <v>1</v>
      </c>
      <c r="E23" s="16" t="n">
        <v>150000</v>
      </c>
      <c r="F23" s="16" t="n">
        <v>250000</v>
      </c>
      <c r="G23" s="10" t="n">
        <v>200000</v>
      </c>
      <c r="H23" s="11">
        <f>D23*G23</f>
        <v/>
      </c>
      <c r="I23" s="14" t="inlineStr">
        <is>
          <t>Estimated annual cost based on 16-student STEM lab in Pakistan</t>
        </is>
      </c>
      <c r="J23" s="14" t="inlineStr">
        <is>
          <t>Lump-sum annual budget estimate; actual cost depends on usage intensity</t>
        </is>
      </c>
    </row>
    <row r="24" ht="58" customHeight="1">
      <c r="A24" s="5" t="n">
        <v>17</v>
      </c>
      <c r="B24" s="6" t="inlineStr">
        <is>
          <t>Recyclable &amp; Eco-Friendly Materials
(环保可循环手工材料)</t>
        </is>
      </c>
      <c r="C24" s="7" t="inlineStr">
        <is>
          <t>Recycled cardboard, craft paper, biodegradable glue, eco-friendly paints, recyclable plastic pieces, wood offcuts for hands-on STEM projects.</t>
        </is>
      </c>
      <c r="D24" s="8" t="n">
        <v>1</v>
      </c>
      <c r="E24" s="9" t="n">
        <v>40000</v>
      </c>
      <c r="F24" s="9" t="n">
        <v>80000</v>
      </c>
      <c r="G24" s="10" t="n">
        <v>60000</v>
      </c>
      <c r="H24" s="11">
        <f>D24*G24</f>
        <v/>
      </c>
      <c r="I24" s="7" t="inlineStr">
        <is>
          <t>Local craft/stationery suppliers in Pakistan; Daraz.pk bulk craft materials</t>
        </is>
      </c>
      <c r="J24" s="7" t="inlineStr">
        <is>
          <t>Estimated; procure from local stationery/craft wholesalers</t>
        </is>
      </c>
    </row>
    <row r="25" ht="24" customHeight="1">
      <c r="A25" s="19" t="inlineStr">
        <is>
          <t xml:space="preserve">  ▶  FURNITURE &amp; FIXTURES</t>
        </is>
      </c>
    </row>
    <row r="26" ht="58" customHeight="1">
      <c r="A26" s="12" t="n">
        <v>18</v>
      </c>
      <c r="B26" s="13" t="inlineStr">
        <is>
          <t>Storage Cabinets
(储物立柜)</t>
        </is>
      </c>
      <c r="C26" s="14" t="inlineStr">
        <is>
          <t>W 900 × D 400 × H 1090 mm | 0.5 mm cold-rolled steel sheet | Powder-coated finish.</t>
        </is>
      </c>
      <c r="D26" s="15" t="n">
        <v>8</v>
      </c>
      <c r="E26" s="16" t="n">
        <v>22000</v>
      </c>
      <c r="F26" s="16" t="n">
        <v>38000</v>
      </c>
      <c r="G26" s="10" t="n">
        <v>30000</v>
      </c>
      <c r="H26" s="11">
        <f>D26*G26</f>
        <v/>
      </c>
      <c r="I26" s="14" t="inlineStr">
        <is>
          <t>Steel almirah/cabinet manufacturers in Pakistan: Rs 20,000–70,000 (subhanallahsteelsafe.com) | JS Racks / K Furnitures / Gujrat Steel: Rs 22,000–38,000 for this size</t>
        </is>
      </c>
      <c r="J26" s="14" t="inlineStr">
        <is>
          <t>Custom size; obtain quotes from local steel furniture manufacturers</t>
        </is>
      </c>
    </row>
    <row r="27" ht="58" customHeight="1">
      <c r="A27" s="5" t="n">
        <v>19</v>
      </c>
      <c r="B27" s="6" t="inlineStr">
        <is>
          <t>Lab Tables — Height-Adjustable
(实验桌/操作台)</t>
        </is>
      </c>
      <c r="C27" s="7" t="inlineStr">
        <is>
          <t>1200 × 600 mm top | Height: 600–760 mm (adjustable) | 12 mm HPL laminate top | Round steel tube frame with powder coating.</t>
        </is>
      </c>
      <c r="D27" s="8" t="n">
        <v>3</v>
      </c>
      <c r="E27" s="9" t="n">
        <v>35000</v>
      </c>
      <c r="F27" s="9" t="n">
        <v>60000</v>
      </c>
      <c r="G27" s="10" t="n">
        <v>45000</v>
      </c>
      <c r="H27" s="11">
        <f>D27*G27</f>
        <v/>
      </c>
      <c r="I27" s="7" t="inlineStr">
        <is>
          <t>Height-adjustable HPL lab tables locally made in Pakistan: Rs 35,000–60,000 | labfurniture.pk / baristeelrack.com (Lahore) | School furniture manufacturers</t>
        </is>
      </c>
      <c r="J27" s="7" t="inlineStr">
        <is>
          <t>HPL (High Pressure Laminate) top is chemical/scratch resistant</t>
        </is>
      </c>
    </row>
    <row r="28" ht="58" customHeight="1">
      <c r="A28" s="12" t="n">
        <v>20</v>
      </c>
      <c r="B28" s="13" t="inlineStr">
        <is>
          <t>Student Chairs
(座椅)</t>
        </is>
      </c>
      <c r="C28" s="14" t="inlineStr">
        <is>
          <t>Seat diameter: φ315 mm | Seat height: ~450 mm | Seat top: ABS plastic | Frame: metal tube (powder coated).</t>
        </is>
      </c>
      <c r="D28" s="15" t="n">
        <v>25</v>
      </c>
      <c r="E28" s="16" t="n">
        <v>3500</v>
      </c>
      <c r="F28" s="16" t="n">
        <v>5500</v>
      </c>
      <c r="G28" s="10" t="n">
        <v>4500</v>
      </c>
      <c r="H28" s="11">
        <f>D28*G28</f>
        <v/>
      </c>
      <c r="I28" s="14" t="inlineStr">
        <is>
          <t>Lab/school ABS plastic seat chairs in Pakistan: Rs 3,000–5,500 (schoolcrafts.com.pk / applefurniture.com.pk / Daraz.pk) | Basic study chair: Rs 3,499 (Daraz)</t>
        </is>
      </c>
      <c r="J28" s="14" t="inlineStr">
        <is>
          <t>Quantity estimated at 25 units (16 computer stations + lab table seats + spares)</t>
        </is>
      </c>
    </row>
    <row r="29" ht="58" customHeight="1">
      <c r="A29" s="5" t="n">
        <v>21</v>
      </c>
      <c r="B29" s="6" t="inlineStr">
        <is>
          <t>Counters / Shelf Units
(置物台/层架)</t>
        </is>
      </c>
      <c r="C29" s="7" t="inlineStr">
        <is>
          <t>Storage display counters and open shelving units for lab material storage. Steel or wood-steel construction.</t>
        </is>
      </c>
      <c r="D29" s="8" t="n">
        <v>3</v>
      </c>
      <c r="E29" s="9" t="n">
        <v>22000</v>
      </c>
      <c r="F29" s="9" t="n">
        <v>45000</v>
      </c>
      <c r="G29" s="10" t="n">
        <v>32000</v>
      </c>
      <c r="H29" s="11">
        <f>D29*G29</f>
        <v/>
      </c>
      <c r="I29" s="7" t="inlineStr">
        <is>
          <t>Local furniture manufacturers / labfurniture.pk / schoolfurniture.com.pk | Open shelf racks Rs 10,000–45,000 (racksinfaisalabad.com)</t>
        </is>
      </c>
      <c r="J29" s="7" t="inlineStr">
        <is>
          <t>Spec not fully detailed; adjust per final dimensions</t>
        </is>
      </c>
    </row>
    <row r="30" ht="58" customHeight="1">
      <c r="A30" s="12" t="n">
        <v>22</v>
      </c>
      <c r="B30" s="13" t="inlineStr">
        <is>
          <t>Blackout Blinds
(遮光百叶窗)</t>
        </is>
      </c>
      <c r="C30" s="14" t="inlineStr">
        <is>
          <t>Blackout roller blinds / venetian-type blackout blinds. PVC-backed fabric. 100% light blocking.</t>
        </is>
      </c>
      <c r="D30" s="15" t="n">
        <v>126</v>
      </c>
      <c r="E30" s="16" t="n">
        <v>350</v>
      </c>
      <c r="F30" s="16" t="n">
        <v>700</v>
      </c>
      <c r="G30" s="10" t="n">
        <v>500</v>
      </c>
      <c r="H30" s="11">
        <f>D30*G30</f>
        <v/>
      </c>
      <c r="I30" s="14" t="inlineStr">
        <is>
          <t>Blackout roller blinds: Rs 350–400/sq ft (darodeewar.com) | Roller blinds Rs 220–1,800/sq ft (lahoreblinds.com / aecinteriors.com.pk) | Estimated per blind unit ~0.8–1.4 sq ft</t>
        </is>
      </c>
      <c r="J30" s="14" t="inlineStr">
        <is>
          <t>126 units (individual blind slats/panels); verify window count &amp; size on-site</t>
        </is>
      </c>
    </row>
    <row r="31" ht="58" customHeight="1">
      <c r="A31" s="5" t="n">
        <v>23</v>
      </c>
      <c r="B31" s="6" t="inlineStr">
        <is>
          <t>Student Computer Desks
(学生电脑桌)</t>
        </is>
      </c>
      <c r="C31" s="7" t="inlineStr">
        <is>
          <t>800 × 600 × 750 mm | Steel-wood construction with wooden desktop | Rear computer chassis compartment panel for tower PC.</t>
        </is>
      </c>
      <c r="D31" s="8" t="n">
        <v>16</v>
      </c>
      <c r="E31" s="9" t="n">
        <v>14000</v>
      </c>
      <c r="F31" s="9" t="n">
        <v>25000</v>
      </c>
      <c r="G31" s="10" t="n">
        <v>18000</v>
      </c>
      <c r="H31" s="11">
        <f>D31*G31</f>
        <v/>
      </c>
      <c r="I31" s="7" t="inlineStr">
        <is>
          <t>Steel-wood computer desks locally made in Pakistan: Rs 14,000–25,000 | schoolfurniture.com.pk / local carpenter + metal fabricator</t>
        </is>
      </c>
      <c r="J31" s="7" t="inlineStr">
        <is>
          <t>One desk per student computer station; custom fabrication recommended</t>
        </is>
      </c>
    </row>
    <row r="32" ht="24" customHeight="1">
      <c r="A32" s="20" t="inlineStr">
        <is>
          <t xml:space="preserve">  ▶  TEACHER'S EQUIPMENT</t>
        </is>
      </c>
    </row>
    <row r="33" ht="58" customHeight="1">
      <c r="A33" s="12" t="n">
        <v>24</v>
      </c>
      <c r="B33" s="13" t="inlineStr">
        <is>
          <t>Teacher's Laboratory Workbench
(教师实验室工作台)</t>
        </is>
      </c>
      <c r="C33" s="14" t="inlineStr">
        <is>
          <t>Dimensions: 3000 × 700 × 850 mm | Countertop: 12.7 mm double-sided solid phenolic resin board | All-steel cabinet body | Central demonstration surface | Storage cabinets | Reserved spaces for main power control, multimedia (PC, monitor, central control, amplifier, switch).</t>
        </is>
      </c>
      <c r="D33" s="15" t="n">
        <v>1</v>
      </c>
      <c r="E33" s="16" t="n">
        <v>90000</v>
      </c>
      <c r="F33" s="16" t="n">
        <v>160000</v>
      </c>
      <c r="G33" s="10" t="n">
        <v>125000</v>
      </c>
      <c r="H33" s="11">
        <f>D33*G33</f>
        <v/>
      </c>
      <c r="I33" s="14" t="inlineStr">
        <is>
          <t>Custom phenolic resin lab workbench in Pakistan: Rs 90,000–160,000 | baristeelrack.com (Lahore) / labfurniture.pk | Phenolic resin tops from Chinese suppliers</t>
        </is>
      </c>
      <c r="J33" s="14" t="inlineStr">
        <is>
          <t>Custom 3m bench; obtain formal quote from lab furniture specialist</t>
        </is>
      </c>
    </row>
    <row r="34" ht="58" customHeight="1">
      <c r="A34" s="5" t="n">
        <v>25</v>
      </c>
      <c r="B34" s="6" t="inlineStr">
        <is>
          <t>Teacher's Computer System
(教师电脑)</t>
        </is>
      </c>
      <c r="C34" s="7" t="inlineStr">
        <is>
          <t>All-in-One PC | CPU: Intel Core i5-13420H (RPL) | RAM: 16 GB DDR4 | Storage: 256 GB SSD (PCIe 3.0) | Display: 23.8" FHD IPS 60 Hz 16:9 | Camera: 5 MP | I/O: 4× USB-A, 1× HDMI-out, earphone+MIC | Kbd+Mouse.</t>
        </is>
      </c>
      <c r="D34" s="8" t="n">
        <v>1</v>
      </c>
      <c r="E34" s="9" t="n">
        <v>100000</v>
      </c>
      <c r="F34" s="9" t="n">
        <v>145000</v>
      </c>
      <c r="G34" s="10" t="n">
        <v>120000</v>
      </c>
      <c r="H34" s="11">
        <f>D34*G34</f>
        <v/>
      </c>
      <c r="I34" s="7" t="inlineStr">
        <is>
          <t>Dahua 23.8" i5 AIO: Rs 235,000 (full brand) | Chinese-brand 23.8" i5 AIO: Rs 100,000–145,000 | HP/Dell 24" i5 AIO: Rs 219,999–265,000 (paklap.pk / czone.com.pk)</t>
        </is>
      </c>
      <c r="J34" s="7" t="inlineStr">
        <is>
          <t>23.8" version of same spec as student unit but slightly larger</t>
        </is>
      </c>
    </row>
    <row r="35" ht="24" customHeight="1">
      <c r="A35" s="21" t="inlineStr">
        <is>
          <t xml:space="preserve">  ▶  ELECTRICAL &amp; SAFETY</t>
        </is>
      </c>
    </row>
    <row r="36" ht="58" customHeight="1">
      <c r="A36" s="12" t="n">
        <v>26</v>
      </c>
      <c r="B36" s="13" t="inlineStr">
        <is>
          <t>AC — 1.5 Ton Inverter
(1.5匹空调)</t>
        </is>
      </c>
      <c r="C36" s="14" t="inlineStr">
        <is>
          <t>Brand: Haier or Enviro | 1.5-ton DC inverter air conditioner | Heat &amp; cool | Energy-saving inverter compressor.</t>
        </is>
      </c>
      <c r="D36" s="15" t="n">
        <v>3</v>
      </c>
      <c r="E36" s="16" t="n">
        <v>118000</v>
      </c>
      <c r="F36" s="16" t="n">
        <v>200000</v>
      </c>
      <c r="G36" s="10" t="n">
        <v>150000</v>
      </c>
      <c r="H36" s="11">
        <f>D36*G36</f>
        <v/>
      </c>
      <c r="I36" s="14" t="inlineStr">
        <is>
          <t>Haier 1.5T DC Inverter: Rs 131,000–237,000 (mega.pk / almumtaz.com.pk — Jun 2026) | Enviro A-Cool 1.5T Inverter: Rs 118,000 (priceoye.pk) | Enviro IceBerg T3: Rs 156,000–185,000</t>
        </is>
      </c>
      <c r="J36" s="14" t="inlineStr">
        <is>
          <t>Haier HSU-18HFP or Enviro EAC-18AS recommended; prices updated Jun 2026</t>
        </is>
      </c>
    </row>
    <row r="37" ht="58" customHeight="1">
      <c r="A37" s="5" t="n">
        <v>27</v>
      </c>
      <c r="B37" s="6" t="inlineStr">
        <is>
          <t>Fire Extinguisher
(灭火器)</t>
        </is>
      </c>
      <c r="C37" s="7" t="inlineStr">
        <is>
          <t>6 kg dry powder (ABC class) fire extinguisher. Suitable for Class A, B, C &amp; electrical fires.</t>
        </is>
      </c>
      <c r="D37" s="8" t="n">
        <v>2</v>
      </c>
      <c r="E37" s="9" t="n">
        <v>5000</v>
      </c>
      <c r="F37" s="9" t="n">
        <v>8500</v>
      </c>
      <c r="G37" s="10" t="n">
        <v>6500</v>
      </c>
      <c r="H37" s="11">
        <f>D37*G37</f>
        <v/>
      </c>
      <c r="I37" s="7" t="inlineStr">
        <is>
          <t>6 kg ABC dry powder extinguisher: Rs 4,500–8,000 in Karachi (karachifire.com) / Rs 4,000–7,500 in Lahore | hacsons.com / abdullahfireprotection.com.pk | cncelectric.pk</t>
        </is>
      </c>
      <c r="J37" s="7" t="inlineStr">
        <is>
          <t>Certified brands: Amerex, Kidde, local brands meeting PS 1568 / BS EN 3</t>
        </is>
      </c>
    </row>
    <row r="38" ht="58" customHeight="1">
      <c r="A38" s="12" t="n">
        <v>28</v>
      </c>
      <c r="B38" s="13" t="inlineStr">
        <is>
          <t>Ceiling Fans — 56"
(风扇)</t>
        </is>
      </c>
      <c r="C38" s="14" t="inlineStr">
        <is>
          <t>56-inch (1400 mm sweep) ceiling fan. Energy-efficient copper-wound motor.</t>
        </is>
      </c>
      <c r="D38" s="15" t="n">
        <v>3</v>
      </c>
      <c r="E38" s="16" t="n">
        <v>9000</v>
      </c>
      <c r="F38" s="16" t="n">
        <v>19000</v>
      </c>
      <c r="G38" s="10" t="n">
        <v>12000</v>
      </c>
      <c r="H38" s="11">
        <f>D38*G38</f>
        <v/>
      </c>
      <c r="I38" s="14" t="inlineStr">
        <is>
          <t>GFC Apex AC-DC 56": Rs 10,300 | GFC Falcon 56": Rs 10,000 | GFC Fanoos 56": Rs 19,000 | GFC Deluxe Saver (50W): Rs 9,095 (sbestore.com / powerhouseexpress.com.pk / khanbrothersfan.com)</t>
        </is>
      </c>
      <c r="J38" s="14" t="inlineStr">
        <is>
          <t>GFC, Pak Fan, or Royal fans — all Pakistan-made 56" models available</t>
        </is>
      </c>
    </row>
    <row r="40" ht="36" customHeight="1">
      <c r="A40" s="22" t="inlineStr">
        <is>
          <t>GRAND TOTAL  —  Pakistan Market Price (PKR)</t>
        </is>
      </c>
      <c r="H40" s="23">
        <f>H6+H7+H8+H9+H10+H11+H12+H14+H15+H16+H18+H19+H20+H21+H22+H23+H24+H26+H27+H28+H29+H30+H31+H33+H34+H36+H37+H38</f>
        <v/>
      </c>
      <c r="I40" s="24" t="inlineStr">
        <is>
          <t>All prices are market estimates for Pakistan (June 2026). Final prices subject to negotiation, taxes (GST 17%) and delivery.</t>
        </is>
      </c>
    </row>
    <row r="41" ht="24" customHeight="1">
      <c r="A41" s="25" t="inlineStr">
        <is>
          <t>GST @ 17%  (if applicable)</t>
        </is>
      </c>
      <c r="H41" s="26">
        <f>H40*0.17</f>
        <v/>
      </c>
      <c r="I41" s="27" t="inlineStr">
        <is>
          <t>GST applicability depends on vendor registration status</t>
        </is>
      </c>
    </row>
    <row r="42" ht="30" customHeight="1">
      <c r="A42" s="28" t="inlineStr">
        <is>
          <t>TOTAL  (incl. GST @ 17%)</t>
        </is>
      </c>
      <c r="H42" s="29">
        <f>H40+H41</f>
        <v/>
      </c>
      <c r="I42" s="27" t="n"/>
    </row>
  </sheetData>
  <mergeCells count="14">
    <mergeCell ref="A1:J1"/>
    <mergeCell ref="A5:J5"/>
    <mergeCell ref="A32:J32"/>
    <mergeCell ref="A40:G40"/>
    <mergeCell ref="I40:J40"/>
    <mergeCell ref="A17:J17"/>
    <mergeCell ref="I42:J42"/>
    <mergeCell ref="I41:J41"/>
    <mergeCell ref="A35:J35"/>
    <mergeCell ref="A42:G42"/>
    <mergeCell ref="A2:J2"/>
    <mergeCell ref="A41:G41"/>
    <mergeCell ref="A25:J2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2026-06-21T11:20:08Z</dcterms:created>
  <dcterms:modified xsi:type="dcterms:W3CDTF">2026-06-21T11:20:08Z</dcterms:modified>
</cp:coreProperties>
</file>